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isk" sheetId="2" state="visible" r:id="rId4"/>
    <sheet name="Controls" sheetId="3" state="visible" r:id="rId5"/>
    <sheet name="Summary" sheetId="4" state="visible" r:id="rId6"/>
    <sheet name="Projection" sheetId="5" state="visible" r:id="rId7"/>
    <sheet name="Bonus_Budge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<sst xmlns="http://schemas.openxmlformats.org/spreadsheetml/2006/main" count="150" uniqueCount="122">
  <si>
    <t xml:space="preserve">Lab 3b - Inputs</t>
  </si>
  <si>
    <t xml:space="preserve">Blue = given in the lab dataset. Yellow fill = my assumption (edit to run scenarios). Black = formula.</t>
  </si>
  <si>
    <t xml:space="preserve">System context (SecureMobile)</t>
  </si>
  <si>
    <t xml:space="preserve">Active customers</t>
  </si>
  <si>
    <t xml:space="preserve">Average transaction ($)</t>
  </si>
  <si>
    <t xml:space="preserve">Daily transactions</t>
  </si>
  <si>
    <t xml:space="preserve">Finding</t>
  </si>
  <si>
    <t xml:space="preserve">Exploit probability (= ARO)</t>
  </si>
  <si>
    <t xml:space="preserve">Loss quantity</t>
  </si>
  <si>
    <t xml:space="preserve">Unit loss ($)</t>
  </si>
  <si>
    <t xml:space="preserve">SLE basis</t>
  </si>
  <si>
    <t xml:space="preserve">ID</t>
  </si>
  <si>
    <t xml:space="preserve">API Authentication Bypass</t>
  </si>
  <si>
    <t xml:space="preserve">1 incident x max single-incident loss</t>
  </si>
  <si>
    <t xml:space="preserve">F1</t>
  </si>
  <si>
    <t xml:space="preserve">Database Injection</t>
  </si>
  <si>
    <t xml:space="preserve">records at risk x cost per record</t>
  </si>
  <si>
    <t xml:space="preserve">F2</t>
  </si>
  <si>
    <t xml:space="preserve">Session Hijacking</t>
  </si>
  <si>
    <t xml:space="preserve">accounts at risk x avg loss per account</t>
  </si>
  <si>
    <t xml:space="preserve">F3</t>
  </si>
  <si>
    <t xml:space="preserve">Control</t>
  </si>
  <si>
    <t xml:space="preserve">Initial cost ($)</t>
  </si>
  <si>
    <t xml:space="preserve">Annual maintenance ($)</t>
  </si>
  <si>
    <t xml:space="preserve">Effectiveness</t>
  </si>
  <si>
    <t xml:space="preserve">Mitigates (ID)</t>
  </si>
  <si>
    <t xml:space="preserve">Advanced API Security Gateway</t>
  </si>
  <si>
    <t xml:space="preserve">Web Application Firewall (WAF)</t>
  </si>
  <si>
    <t xml:space="preserve">Multi-Factor Authentication Enhancement</t>
  </si>
  <si>
    <t xml:space="preserve">Assumptions and thresholds (all mine - not in the lab brief)</t>
  </si>
  <si>
    <t xml:space="preserve">Evaluation horizon (years)</t>
  </si>
  <si>
    <t xml:space="preserve">Priority 'Critical' if ALE &gt;=</t>
  </si>
  <si>
    <t xml:space="preserve">Priority 'High' if ALE &gt;=</t>
  </si>
  <si>
    <t xml:space="preserve">Priority 'Medium' if ALE &gt;=</t>
  </si>
  <si>
    <t xml:space="preserve">Probability band 'High' if &gt;=</t>
  </si>
  <si>
    <t xml:space="preserve">Probability band 'Medium' if &gt;=</t>
  </si>
  <si>
    <t xml:space="preserve">Impact band 'High' if SLE &gt;=</t>
  </si>
  <si>
    <t xml:space="preserve">Impact band 'Medium' if SLE &gt;=</t>
  </si>
  <si>
    <t xml:space="preserve">Bonus: budget cap on Year-1 outlay ($)</t>
  </si>
  <si>
    <t xml:space="preserve">Heat-map rating matrix (impact down, probability across)</t>
  </si>
  <si>
    <t xml:space="preserve">Impact \ Probability</t>
  </si>
  <si>
    <t xml:space="preserve">Low</t>
  </si>
  <si>
    <t xml:space="preserve">Medium</t>
  </si>
  <si>
    <t xml:space="preserve">High</t>
  </si>
  <si>
    <t xml:space="preserve">Notes:</t>
  </si>
  <si>
    <t xml:space="preserve">1. ARO = exploit probability per year (the lab gives probability only; I treat it as one expected exploitation attempt-year).</t>
  </si>
  <si>
    <t xml:space="preserve">2. F1 SLE uses the 'Maximum Single Incident Loss' given. The 48-hour detection time is context only; it is not used in ALE.</t>
  </si>
  <si>
    <t xml:space="preserve">3. F2 SLE assumes all 500,000 records are exposed (worst case) at $250/record.</t>
  </si>
  <si>
    <t xml:space="preserve">4. Each control is mapped to the single finding it addresses: API Gateway-&gt;F1, WAF-&gt;F2 (injection), MFA-&gt;F3 (account takeover).</t>
  </si>
  <si>
    <t xml:space="preserve">5. Effectiveness is applied as a straight % reduction of that finding's ALE.</t>
  </si>
  <si>
    <t xml:space="preserve">Phase 1 - Risk Exposure (SLE x ARO = ALE)</t>
  </si>
  <si>
    <t xml:space="preserve">Vulnerability</t>
  </si>
  <si>
    <t xml:space="preserve">SLE ($)</t>
  </si>
  <si>
    <t xml:space="preserve">ARO</t>
  </si>
  <si>
    <t xml:space="preserve">ALE ($)</t>
  </si>
  <si>
    <t xml:space="preserve">% of total ALE</t>
  </si>
  <si>
    <t xml:space="preserve">Risk priority</t>
  </si>
  <si>
    <t xml:space="preserve">Probability band</t>
  </si>
  <si>
    <t xml:space="preserve">Impact band</t>
  </si>
  <si>
    <t xml:space="preserve">Heat-map rating</t>
  </si>
  <si>
    <t xml:space="preserve">Rank</t>
  </si>
  <si>
    <t xml:space="preserve">Total</t>
  </si>
  <si>
    <t xml:space="preserve">Phase 2 - Cost-Benefit Analysis</t>
  </si>
  <si>
    <t xml:space="preserve">Year-1 ROI = (annual risk reduction - (initial + annual maintenance)) / (initial + annual maintenance). Payback = initial / (annual risk reduction - annual maintenance).</t>
  </si>
  <si>
    <t xml:space="preserve">Initial investment ($)</t>
  </si>
  <si>
    <t xml:space="preserve">Mitigates</t>
  </si>
  <si>
    <t xml:space="preserve">Baseline ALE ($)</t>
  </si>
  <si>
    <t xml:space="preserve">Annual risk reduction ($)</t>
  </si>
  <si>
    <t xml:space="preserve">Residual ALE ($)</t>
  </si>
  <si>
    <t xml:space="preserve">Year-1 cost ($)</t>
  </si>
  <si>
    <t xml:space="preserve">Year-1 ROI</t>
  </si>
  <si>
    <t xml:space="preserve">Horizon cost ($)</t>
  </si>
  <si>
    <t xml:space="preserve">Horizon benefit ($)</t>
  </si>
  <si>
    <t xml:space="preserve">Horizon ROI</t>
  </si>
  <si>
    <t xml:space="preserve">Payback (years)</t>
  </si>
  <si>
    <t xml:space="preserve">Payback (days)</t>
  </si>
  <si>
    <t xml:space="preserve">Portfolio (all three)</t>
  </si>
  <si>
    <t xml:space="preserve">Executive Summary - Before vs After Controls</t>
  </si>
  <si>
    <t xml:space="preserve">ALE before ($)</t>
  </si>
  <si>
    <t xml:space="preserve">Risk reduction ($)</t>
  </si>
  <si>
    <t xml:space="preserve">Reduction %</t>
  </si>
  <si>
    <t xml:space="preserve">KPI</t>
  </si>
  <si>
    <t xml:space="preserve">Value</t>
  </si>
  <si>
    <t xml:space="preserve">Total initial investment</t>
  </si>
  <si>
    <t xml:space="preserve">Annual maintenance</t>
  </si>
  <si>
    <t xml:space="preserve">Year-1 total cost</t>
  </si>
  <si>
    <t xml:space="preserve">Annual risk reduction</t>
  </si>
  <si>
    <t xml:space="preserve">Portfolio Year-1 ROI</t>
  </si>
  <si>
    <t xml:space="preserve">Portfolio payback (days)</t>
  </si>
  <si>
    <t xml:space="preserve">Residual ALE after all controls</t>
  </si>
  <si>
    <t xml:space="preserve">Risk reduction over time</t>
  </si>
  <si>
    <t xml:space="preserve">Cumulative net benefit by year ($) = -initial + (annual risk reduction - annual maintenance) x year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</si>
  <si>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</si>
  <si>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</si>
  <si>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</si>
  <si>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</si>
  <si>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</si>
  <si>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</si>
  <si>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index</t>
  </si>
  <si>
    <t xml:space="preserve">Portfolio</t>
  </si>
  <si>
    <t xml:space="preserve">Phased roll-out: go-live month per control (assumption)</t>
  </si>
  <si>
    <t xml:space="preserve">Go-live month</t>
  </si>
  <si>
    <t xml:space="preserve">Month</t>
  </si>
  <si>
    <t xml:space="preserve">Annualised residual exposure ($)</t>
  </si>
  <si>
    <t xml:space="preserve">Bonus - optimal control selection under a budget</t>
  </si>
  <si>
    <t xml:space="preserve">Budget cap on Year-1 outlay ($)</t>
  </si>
  <si>
    <t xml:space="preserve">Combination</t>
  </si>
  <si>
    <t xml:space="preserve">API GW</t>
  </si>
  <si>
    <t xml:space="preserve">WAF</t>
  </si>
  <si>
    <t xml:space="preserve">MFA</t>
  </si>
  <si>
    <t xml:space="preserve">Initial ($)</t>
  </si>
  <si>
    <t xml:space="preserve">Year-1 outlay ($)</t>
  </si>
  <si>
    <t xml:space="preserve">Year-1 net benefit ($)</t>
  </si>
  <si>
    <t xml:space="preserve">Within budget?</t>
  </si>
  <si>
    <t xml:space="preserve">Eligible net benefit ($)</t>
  </si>
  <si>
    <t xml:space="preserve">None</t>
  </si>
  <si>
    <t xml:space="preserve">API GW + WAF</t>
  </si>
  <si>
    <t xml:space="preserve">API GW + MFA</t>
  </si>
  <si>
    <t xml:space="preserve">WAF + MFA</t>
  </si>
  <si>
    <t xml:space="preserve">All three</t>
  </si>
  <si>
    <t xml:space="preserve">Best affordable combination</t>
  </si>
  <si>
    <t xml:space="preserve">Its Year-1 net benefit ($)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</si>
</sst>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\$#,##0;&quot;($&quot;#,##0\);\-"/>
    <numFmt numFmtId="167" formatCode="0%"/>
    <numFmt numFmtId="168" formatCode="0"/>
    <numFmt numFmtId="169" formatCode="0.0%;\(0.0%\);\-"/>
    <numFmt numFmtId="170" formatCode="#,##0.0%"/>
    <numFmt numFmtId="171" formatCode="0.000"/>
    <numFmt numFmtId="172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500000</v>
      </c>
    </row>
    <row r="5" customFormat="false" ht="15" hidden="false" customHeight="false" outlineLevel="0" collapsed="false">
      <c r="A5" s="4" t="s">
        <v>4</v>
      </c>
      <c r="B5" s="6" t="n">
        <v>2500</v>
      </c>
    </row>
    <row r="6" customFormat="false" ht="15" hidden="false" customHeight="false" outlineLevel="0" collapsed="false">
      <c r="A6" s="4" t="s">
        <v>5</v>
      </c>
      <c r="B6" s="5" t="n">
        <v>50000</v>
      </c>
    </row>
    <row r="8" customFormat="false" ht="31.5" hidden="false" customHeight="true" outlineLevel="0" collapsed="false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customFormat="false" ht="15" hidden="false" customHeight="false" outlineLevel="0" collapsed="false">
      <c r="A9" s="8" t="s">
        <v>12</v>
      </c>
      <c r="B9" s="9" t="n">
        <v>0.15</v>
      </c>
      <c r="C9" s="5" t="n">
        <v>1</v>
      </c>
      <c r="D9" s="6" t="n">
        <v>5000000</v>
      </c>
      <c r="E9" s="4" t="s">
        <v>13</v>
      </c>
      <c r="F9" s="4" t="s">
        <v>14</v>
      </c>
    </row>
    <row r="10" customFormat="false" ht="15" hidden="false" customHeight="false" outlineLevel="0" collapsed="false">
      <c r="A10" s="8" t="s">
        <v>15</v>
      </c>
      <c r="B10" s="9" t="n">
        <v>0.25</v>
      </c>
      <c r="C10" s="10" t="n">
        <f aca="false">B4</f>
        <v>500000</v>
      </c>
      <c r="D10" s="6" t="n">
        <v>250</v>
      </c>
      <c r="E10" s="4" t="s">
        <v>16</v>
      </c>
      <c r="F10" s="4" t="s">
        <v>17</v>
      </c>
    </row>
    <row r="11" customFormat="false" ht="15" hidden="false" customHeight="false" outlineLevel="0" collapsed="false">
      <c r="A11" s="8" t="s">
        <v>18</v>
      </c>
      <c r="B11" s="9" t="n">
        <v>0.4</v>
      </c>
      <c r="C11" s="5" t="n">
        <v>5000</v>
      </c>
      <c r="D11" s="6" t="n">
        <v>1500</v>
      </c>
      <c r="E11" s="4" t="s">
        <v>19</v>
      </c>
      <c r="F11" s="4" t="s">
        <v>20</v>
      </c>
    </row>
    <row r="13" customFormat="false" ht="31.5" hidden="false" customHeight="true" outlineLevel="0" collapsed="false">
      <c r="A13" s="7" t="s">
        <v>21</v>
      </c>
      <c r="B13" s="7" t="s">
        <v>22</v>
      </c>
      <c r="C13" s="7" t="s">
        <v>23</v>
      </c>
      <c r="D13" s="7" t="s">
        <v>24</v>
      </c>
      <c r="E13" s="7" t="s">
        <v>25</v>
      </c>
    </row>
    <row r="14" customFormat="false" ht="15" hidden="false" customHeight="false" outlineLevel="0" collapsed="false">
      <c r="A14" s="8" t="s">
        <v>26</v>
      </c>
      <c r="B14" s="6" t="n">
        <v>350000</v>
      </c>
      <c r="C14" s="6" t="n">
        <v>50000</v>
      </c>
      <c r="D14" s="9" t="n">
        <v>0.9</v>
      </c>
      <c r="E14" s="11" t="s">
        <v>14</v>
      </c>
    </row>
    <row r="15" customFormat="false" ht="15" hidden="false" customHeight="false" outlineLevel="0" collapsed="false">
      <c r="A15" s="8" t="s">
        <v>27</v>
      </c>
      <c r="B15" s="6" t="n">
        <v>150000</v>
      </c>
      <c r="C15" s="6" t="n">
        <v>25000</v>
      </c>
      <c r="D15" s="9" t="n">
        <v>0.75</v>
      </c>
      <c r="E15" s="11" t="s">
        <v>17</v>
      </c>
    </row>
    <row r="16" customFormat="false" ht="15" hidden="false" customHeight="false" outlineLevel="0" collapsed="false">
      <c r="A16" s="8" t="s">
        <v>28</v>
      </c>
      <c r="B16" s="6" t="n">
        <v>200000</v>
      </c>
      <c r="C16" s="6" t="n">
        <v>30000</v>
      </c>
      <c r="D16" s="9" t="n">
        <v>0.95</v>
      </c>
      <c r="E16" s="11" t="s">
        <v>20</v>
      </c>
    </row>
    <row r="18" customFormat="false" ht="15" hidden="false" customHeight="false" outlineLevel="0" collapsed="false">
      <c r="A18" s="3" t="s">
        <v>29</v>
      </c>
    </row>
    <row r="19" customFormat="false" ht="15" hidden="false" customHeight="false" outlineLevel="0" collapsed="false">
      <c r="A19" s="4" t="s">
        <v>30</v>
      </c>
      <c r="B19" s="12" t="n">
        <v>3</v>
      </c>
    </row>
    <row r="20" customFormat="false" ht="15" hidden="false" customHeight="false" outlineLevel="0" collapsed="false">
      <c r="A20" s="4" t="s">
        <v>31</v>
      </c>
      <c r="B20" s="13" t="n">
        <v>10000000</v>
      </c>
    </row>
    <row r="21" customFormat="false" ht="15" hidden="false" customHeight="false" outlineLevel="0" collapsed="false">
      <c r="A21" s="4" t="s">
        <v>32</v>
      </c>
      <c r="B21" s="13" t="n">
        <v>1000000</v>
      </c>
    </row>
    <row r="22" customFormat="false" ht="15" hidden="false" customHeight="false" outlineLevel="0" collapsed="false">
      <c r="A22" s="4" t="s">
        <v>33</v>
      </c>
      <c r="B22" s="13" t="n">
        <v>250000</v>
      </c>
    </row>
    <row r="23" customFormat="false" ht="15" hidden="false" customHeight="false" outlineLevel="0" collapsed="false">
      <c r="A23" s="4" t="s">
        <v>34</v>
      </c>
      <c r="B23" s="14" t="n">
        <v>0.35</v>
      </c>
    </row>
    <row r="24" customFormat="false" ht="15" hidden="false" customHeight="false" outlineLevel="0" collapsed="false">
      <c r="A24" s="4" t="s">
        <v>35</v>
      </c>
      <c r="B24" s="14" t="n">
        <v>0.2</v>
      </c>
    </row>
    <row r="25" customFormat="false" ht="15" hidden="false" customHeight="false" outlineLevel="0" collapsed="false">
      <c r="A25" s="4" t="s">
        <v>36</v>
      </c>
      <c r="B25" s="13" t="n">
        <v>10000000</v>
      </c>
    </row>
    <row r="26" customFormat="false" ht="15" hidden="false" customHeight="false" outlineLevel="0" collapsed="false">
      <c r="A26" s="4" t="s">
        <v>37</v>
      </c>
      <c r="B26" s="13" t="n">
        <v>1000000</v>
      </c>
    </row>
    <row r="27" customFormat="false" ht="15" hidden="false" customHeight="false" outlineLevel="0" collapsed="false">
      <c r="A27" s="4" t="s">
        <v>38</v>
      </c>
      <c r="B27" s="13" t="n">
        <v>450000</v>
      </c>
    </row>
    <row r="29" customFormat="false" ht="15" hidden="false" customHeight="false" outlineLevel="0" collapsed="false">
      <c r="A29" s="3" t="s">
        <v>39</v>
      </c>
    </row>
    <row r="30" customFormat="false" ht="31.5" hidden="false" customHeight="true" outlineLevel="0" collapsed="false">
      <c r="A30" s="7" t="s">
        <v>40</v>
      </c>
      <c r="B30" s="7" t="s">
        <v>41</v>
      </c>
      <c r="C30" s="7" t="s">
        <v>42</v>
      </c>
      <c r="D30" s="7" t="s">
        <v>43</v>
      </c>
    </row>
    <row r="31" customFormat="false" ht="15" hidden="false" customHeight="false" outlineLevel="0" collapsed="false">
      <c r="A31" s="15" t="s">
        <v>43</v>
      </c>
      <c r="B31" s="11" t="s">
        <v>42</v>
      </c>
      <c r="C31" s="11" t="s">
        <v>43</v>
      </c>
      <c r="D31" s="11" t="s">
        <v>43</v>
      </c>
    </row>
    <row r="32" customFormat="false" ht="15" hidden="false" customHeight="false" outlineLevel="0" collapsed="false">
      <c r="A32" s="15" t="s">
        <v>42</v>
      </c>
      <c r="B32" s="11" t="s">
        <v>42</v>
      </c>
      <c r="C32" s="11" t="s">
        <v>42</v>
      </c>
      <c r="D32" s="11" t="s">
        <v>43</v>
      </c>
    </row>
    <row r="33" customFormat="false" ht="15" hidden="false" customHeight="false" outlineLevel="0" collapsed="false">
      <c r="A33" s="15" t="s">
        <v>41</v>
      </c>
      <c r="B33" s="11" t="s">
        <v>41</v>
      </c>
      <c r="C33" s="11" t="s">
        <v>41</v>
      </c>
      <c r="D33" s="11" t="s">
        <v>42</v>
      </c>
    </row>
    <row r="36" customFormat="false" ht="15" hidden="false" customHeight="false" outlineLevel="0" collapsed="false">
      <c r="A36" s="16" t="s">
        <v>44</v>
      </c>
    </row>
    <row r="37" customFormat="false" ht="15" hidden="false" customHeight="false" outlineLevel="0" collapsed="false">
      <c r="A37" s="17" t="s">
        <v>45</v>
      </c>
    </row>
    <row r="38" customFormat="false" ht="15" hidden="false" customHeight="false" outlineLevel="0" collapsed="false">
      <c r="A38" s="17" t="s">
        <v>46</v>
      </c>
    </row>
    <row r="39" customFormat="false" ht="15" hidden="false" customHeight="false" outlineLevel="0" collapsed="false">
      <c r="A39" s="17" t="s">
        <v>47</v>
      </c>
    </row>
    <row r="40" customFormat="false" ht="15" hidden="false" customHeight="false" outlineLevel="0" collapsed="false">
      <c r="A40" s="17" t="s">
        <v>48</v>
      </c>
    </row>
    <row r="41" customFormat="false" ht="15" hidden="false" customHeight="false" outlineLevel="0" collapsed="false">
      <c r="A41" s="17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50</v>
      </c>
    </row>
    <row r="4" customFormat="false" ht="31.5" hidden="false" customHeight="true" outlineLevel="0" collapsed="false">
      <c r="A4" s="7" t="s">
        <v>51</v>
      </c>
      <c r="B4" s="7" t="s">
        <v>52</v>
      </c>
      <c r="C4" s="7" t="s">
        <v>53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  <c r="I4" s="7" t="s">
        <v>59</v>
      </c>
      <c r="J4" s="7" t="s">
        <v>60</v>
      </c>
    </row>
    <row r="5" customFormat="false" ht="15" hidden="false" customHeight="false" outlineLevel="0" collapsed="false">
      <c r="A5" s="18" t="str">
        <f aca="false">Inputs!A9</f>
        <v>API Authentication Bypass</v>
      </c>
      <c r="B5" s="19" t="n">
        <f aca="false">Inputs!C9*Inputs!D9</f>
        <v>5000000</v>
      </c>
      <c r="C5" s="20" t="n">
        <f aca="false">Inputs!B9</f>
        <v>0.15</v>
      </c>
      <c r="D5" s="21" t="n">
        <f aca="false">B5*C5</f>
        <v>750000</v>
      </c>
      <c r="E5" s="22" t="n">
        <f aca="false">D5/$D$8</f>
        <v>0.0214285714285714</v>
      </c>
      <c r="F5" s="4" t="str">
        <f aca="false">IF(D5&gt;=Inputs!$B$20,"Critical",IF(D5&gt;=Inputs!$B$21,"High",IF(D5&gt;=Inputs!$B$22,"Medium","Low")))</f>
        <v>Medium</v>
      </c>
      <c r="G5" s="4" t="str">
        <f aca="false">IF(C5&gt;=Inputs!$B$23,"High",IF(C5&gt;=Inputs!$B$24,"Medium","Low"))</f>
        <v>Low</v>
      </c>
      <c r="H5" s="4" t="str">
        <f aca="false">IF(B5&gt;=Inputs!$B$25,"High",IF(B5&gt;=Inputs!$B$26,"Medium","Low"))</f>
        <v>Medium</v>
      </c>
      <c r="I5" s="4" t="str">
        <f aca="false">INDEX(Inputs!$B$31:$D$33,MATCH(H5,Inputs!$A$31:$A$33,0),MATCH(G5,Inputs!$B$30:$D$30,0))</f>
        <v>Medium</v>
      </c>
      <c r="J5" s="23" t="n">
        <f aca="false">RANK(D5,$D$5:$D$7)</f>
        <v>3</v>
      </c>
    </row>
    <row r="6" customFormat="false" ht="15" hidden="false" customHeight="false" outlineLevel="0" collapsed="false">
      <c r="A6" s="18" t="str">
        <f aca="false">Inputs!A10</f>
        <v>Database Injection</v>
      </c>
      <c r="B6" s="19" t="n">
        <f aca="false">Inputs!C10*Inputs!D10</f>
        <v>125000000</v>
      </c>
      <c r="C6" s="20" t="n">
        <f aca="false">Inputs!B10</f>
        <v>0.25</v>
      </c>
      <c r="D6" s="21" t="n">
        <f aca="false">B6*C6</f>
        <v>31250000</v>
      </c>
      <c r="E6" s="22" t="n">
        <f aca="false">D6/$D$8</f>
        <v>0.892857142857143</v>
      </c>
      <c r="F6" s="4" t="str">
        <f aca="false">IF(D6&gt;=Inputs!$B$20,"Critical",IF(D6&gt;=Inputs!$B$21,"High",IF(D6&gt;=Inputs!$B$22,"Medium","Low")))</f>
        <v>Critical</v>
      </c>
      <c r="G6" s="4" t="str">
        <f aca="false">IF(C6&gt;=Inputs!$B$23,"High",IF(C6&gt;=Inputs!$B$24,"Medium","Low"))</f>
        <v>Medium</v>
      </c>
      <c r="H6" s="4" t="str">
        <f aca="false">IF(B6&gt;=Inputs!$B$25,"High",IF(B6&gt;=Inputs!$B$26,"Medium","Low"))</f>
        <v>High</v>
      </c>
      <c r="I6" s="4" t="str">
        <f aca="false">INDEX(Inputs!$B$31:$D$33,MATCH(H6,Inputs!$A$31:$A$33,0),MATCH(G6,Inputs!$B$30:$D$30,0))</f>
        <v>High</v>
      </c>
      <c r="J6" s="23" t="n">
        <f aca="false">RANK(D6,$D$5:$D$7)</f>
        <v>1</v>
      </c>
    </row>
    <row r="7" customFormat="false" ht="15" hidden="false" customHeight="false" outlineLevel="0" collapsed="false">
      <c r="A7" s="18" t="str">
        <f aca="false">Inputs!A11</f>
        <v>Session Hijacking</v>
      </c>
      <c r="B7" s="19" t="n">
        <f aca="false">Inputs!C11*Inputs!D11</f>
        <v>7500000</v>
      </c>
      <c r="C7" s="20" t="n">
        <f aca="false">Inputs!B11</f>
        <v>0.4</v>
      </c>
      <c r="D7" s="21" t="n">
        <f aca="false">B7*C7</f>
        <v>3000000</v>
      </c>
      <c r="E7" s="22" t="n">
        <f aca="false">D7/$D$8</f>
        <v>0.0857142857142857</v>
      </c>
      <c r="F7" s="4" t="str">
        <f aca="false">IF(D7&gt;=Inputs!$B$20,"Critical",IF(D7&gt;=Inputs!$B$21,"High",IF(D7&gt;=Inputs!$B$22,"Medium","Low")))</f>
        <v>High</v>
      </c>
      <c r="G7" s="4" t="str">
        <f aca="false">IF(C7&gt;=Inputs!$B$23,"High",IF(C7&gt;=Inputs!$B$24,"Medium","Low"))</f>
        <v>High</v>
      </c>
      <c r="H7" s="4" t="str">
        <f aca="false">IF(B7&gt;=Inputs!$B$25,"High",IF(B7&gt;=Inputs!$B$26,"Medium","Low"))</f>
        <v>Medium</v>
      </c>
      <c r="I7" s="4" t="str">
        <f aca="false">INDEX(Inputs!$B$31:$D$33,MATCH(H7,Inputs!$A$31:$A$33,0),MATCH(G7,Inputs!$B$30:$D$30,0))</f>
        <v>High</v>
      </c>
      <c r="J7" s="23" t="n">
        <f aca="false">RANK(D7,$D$5:$D$7)</f>
        <v>2</v>
      </c>
    </row>
    <row r="8" customFormat="false" ht="15" hidden="false" customHeight="false" outlineLevel="0" collapsed="false">
      <c r="A8" s="24" t="s">
        <v>61</v>
      </c>
      <c r="B8" s="25"/>
      <c r="C8" s="25"/>
      <c r="D8" s="26" t="n">
        <f aca="false">SUM(D5:D7)</f>
        <v>35000000</v>
      </c>
      <c r="E8" s="27" t="n">
        <f aca="false">SUM(E5:E7)</f>
        <v>1</v>
      </c>
      <c r="F8" s="25"/>
      <c r="G8" s="25"/>
      <c r="H8" s="25"/>
      <c r="I8" s="25"/>
      <c r="J8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5" min="13" style="0" width="12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31.5" hidden="false" customHeight="true" outlineLevel="0" collapsed="false">
      <c r="A4" s="7" t="s">
        <v>21</v>
      </c>
      <c r="B4" s="7" t="s">
        <v>64</v>
      </c>
      <c r="C4" s="7" t="s">
        <v>23</v>
      </c>
      <c r="D4" s="7" t="s">
        <v>65</v>
      </c>
      <c r="E4" s="7" t="s">
        <v>66</v>
      </c>
      <c r="F4" s="7" t="s">
        <v>24</v>
      </c>
      <c r="G4" s="7" t="s">
        <v>67</v>
      </c>
      <c r="H4" s="7" t="s">
        <v>68</v>
      </c>
      <c r="I4" s="7" t="s">
        <v>69</v>
      </c>
      <c r="J4" s="7" t="s">
        <v>70</v>
      </c>
      <c r="K4" s="7" t="s">
        <v>71</v>
      </c>
      <c r="L4" s="7" t="s">
        <v>72</v>
      </c>
      <c r="M4" s="7" t="s">
        <v>73</v>
      </c>
      <c r="N4" s="7" t="s">
        <v>74</v>
      </c>
      <c r="O4" s="7" t="s">
        <v>75</v>
      </c>
    </row>
    <row r="5" customFormat="false" ht="15" hidden="false" customHeight="false" outlineLevel="0" collapsed="false">
      <c r="A5" s="18" t="str">
        <f aca="false">Inputs!A14</f>
        <v>Advanced API Security Gateway</v>
      </c>
      <c r="B5" s="19" t="n">
        <f aca="false">Inputs!B14</f>
        <v>350000</v>
      </c>
      <c r="C5" s="19" t="n">
        <f aca="false">Inputs!C14</f>
        <v>50000</v>
      </c>
      <c r="D5" s="18" t="str">
        <f aca="false">Inputs!E14</f>
        <v>F1</v>
      </c>
      <c r="E5" s="19" t="n">
        <f aca="false">INDEX(Risk!$D$5:$D$7,MATCH(D5,Inputs!$F$9:$F$11,0))</f>
        <v>750000</v>
      </c>
      <c r="F5" s="20" t="n">
        <f aca="false">Inputs!D14</f>
        <v>0.9</v>
      </c>
      <c r="G5" s="21" t="n">
        <f aca="false">E5*F5</f>
        <v>675000</v>
      </c>
      <c r="H5" s="21" t="n">
        <f aca="false">E5-G5</f>
        <v>75000</v>
      </c>
      <c r="I5" s="21" t="n">
        <f aca="false">B5+C5</f>
        <v>400000</v>
      </c>
      <c r="J5" s="28" t="n">
        <f aca="false">(G5-I5)/I5</f>
        <v>0.6875</v>
      </c>
      <c r="K5" s="19" t="n">
        <f aca="false">B5+C5*Inputs!$B$19</f>
        <v>500000</v>
      </c>
      <c r="L5" s="19" t="n">
        <f aca="false">G5*Inputs!$B$19</f>
        <v>2025000</v>
      </c>
      <c r="M5" s="28" t="n">
        <f aca="false">(L5-K5)/K5</f>
        <v>3.05</v>
      </c>
      <c r="N5" s="29" t="n">
        <f aca="false">B5/(G5-C5)</f>
        <v>0.56</v>
      </c>
      <c r="O5" s="30" t="n">
        <f aca="false">N5*365</f>
        <v>204.4</v>
      </c>
    </row>
    <row r="6" customFormat="false" ht="15" hidden="false" customHeight="false" outlineLevel="0" collapsed="false">
      <c r="A6" s="18" t="str">
        <f aca="false">Inputs!A15</f>
        <v>Web Application Firewall (WAF)</v>
      </c>
      <c r="B6" s="19" t="n">
        <f aca="false">Inputs!B15</f>
        <v>150000</v>
      </c>
      <c r="C6" s="19" t="n">
        <f aca="false">Inputs!C15</f>
        <v>25000</v>
      </c>
      <c r="D6" s="18" t="str">
        <f aca="false">Inputs!E15</f>
        <v>F2</v>
      </c>
      <c r="E6" s="19" t="n">
        <f aca="false">INDEX(Risk!$D$5:$D$7,MATCH(D6,Inputs!$F$9:$F$11,0))</f>
        <v>31250000</v>
      </c>
      <c r="F6" s="20" t="n">
        <f aca="false">Inputs!D15</f>
        <v>0.75</v>
      </c>
      <c r="G6" s="21" t="n">
        <f aca="false">E6*F6</f>
        <v>23437500</v>
      </c>
      <c r="H6" s="21" t="n">
        <f aca="false">E6-G6</f>
        <v>7812500</v>
      </c>
      <c r="I6" s="21" t="n">
        <f aca="false">B6+C6</f>
        <v>175000</v>
      </c>
      <c r="J6" s="28" t="n">
        <f aca="false">(G6-I6)/I6</f>
        <v>132.928571428571</v>
      </c>
      <c r="K6" s="19" t="n">
        <f aca="false">B6+C6*Inputs!$B$19</f>
        <v>225000</v>
      </c>
      <c r="L6" s="19" t="n">
        <f aca="false">G6*Inputs!$B$19</f>
        <v>70312500</v>
      </c>
      <c r="M6" s="28" t="n">
        <f aca="false">(L6-K6)/K6</f>
        <v>311.5</v>
      </c>
      <c r="N6" s="29" t="n">
        <f aca="false">B6/(G6-C6)</f>
        <v>0.00640683395621997</v>
      </c>
      <c r="O6" s="30" t="n">
        <f aca="false">N6*365</f>
        <v>2.33849439402029</v>
      </c>
    </row>
    <row r="7" customFormat="false" ht="15" hidden="false" customHeight="false" outlineLevel="0" collapsed="false">
      <c r="A7" s="18" t="str">
        <f aca="false">Inputs!A16</f>
        <v>Multi-Factor Authentication Enhancement</v>
      </c>
      <c r="B7" s="19" t="n">
        <f aca="false">Inputs!B16</f>
        <v>200000</v>
      </c>
      <c r="C7" s="19" t="n">
        <f aca="false">Inputs!C16</f>
        <v>30000</v>
      </c>
      <c r="D7" s="18" t="str">
        <f aca="false">Inputs!E16</f>
        <v>F3</v>
      </c>
      <c r="E7" s="19" t="n">
        <f aca="false">INDEX(Risk!$D$5:$D$7,MATCH(D7,Inputs!$F$9:$F$11,0))</f>
        <v>3000000</v>
      </c>
      <c r="F7" s="20" t="n">
        <f aca="false">Inputs!D16</f>
        <v>0.95</v>
      </c>
      <c r="G7" s="21" t="n">
        <f aca="false">E7*F7</f>
        <v>2850000</v>
      </c>
      <c r="H7" s="21" t="n">
        <f aca="false">E7-G7</f>
        <v>150000</v>
      </c>
      <c r="I7" s="21" t="n">
        <f aca="false">B7+C7</f>
        <v>230000</v>
      </c>
      <c r="J7" s="28" t="n">
        <f aca="false">(G7-I7)/I7</f>
        <v>11.3913043478261</v>
      </c>
      <c r="K7" s="19" t="n">
        <f aca="false">B7+C7*Inputs!$B$19</f>
        <v>290000</v>
      </c>
      <c r="L7" s="19" t="n">
        <f aca="false">G7*Inputs!$B$19</f>
        <v>8550000</v>
      </c>
      <c r="M7" s="28" t="n">
        <f aca="false">(L7-K7)/K7</f>
        <v>28.4827586206897</v>
      </c>
      <c r="N7" s="29" t="n">
        <f aca="false">B7/(G7-C7)</f>
        <v>0.0709219858156028</v>
      </c>
      <c r="O7" s="30" t="n">
        <f aca="false">N7*365</f>
        <v>25.886524822695</v>
      </c>
    </row>
    <row r="8" customFormat="false" ht="15" hidden="false" customHeight="false" outlineLevel="0" collapsed="false">
      <c r="A8" s="24" t="s">
        <v>76</v>
      </c>
      <c r="B8" s="26" t="n">
        <f aca="false">SUM(B5:B7)</f>
        <v>700000</v>
      </c>
      <c r="C8" s="26" t="n">
        <f aca="false">SUM(C5:C7)</f>
        <v>105000</v>
      </c>
      <c r="D8" s="25"/>
      <c r="E8" s="26" t="n">
        <f aca="false">SUM(E5:E7)</f>
        <v>35000000</v>
      </c>
      <c r="F8" s="25"/>
      <c r="G8" s="26" t="n">
        <f aca="false">SUM(G5:G7)</f>
        <v>26962500</v>
      </c>
      <c r="H8" s="26" t="n">
        <f aca="false">SUM(H5:H7)</f>
        <v>8037500</v>
      </c>
      <c r="I8" s="26" t="n">
        <f aca="false">SUM(I5:I7)</f>
        <v>805000</v>
      </c>
      <c r="J8" s="31" t="n">
        <f aca="false">(G8-I8)/I8</f>
        <v>32.4937888198758</v>
      </c>
      <c r="K8" s="26" t="n">
        <f aca="false">SUM(K5:K7)</f>
        <v>1015000</v>
      </c>
      <c r="L8" s="26" t="n">
        <f aca="false">SUM(L5:L7)</f>
        <v>80887500</v>
      </c>
      <c r="M8" s="31" t="n">
        <f aca="false">(L8-K8)/K8</f>
        <v>78.692118226601</v>
      </c>
      <c r="N8" s="32" t="n">
        <f aca="false">B8/(G8-C8)</f>
        <v>0.0260634831983617</v>
      </c>
      <c r="O8" s="33" t="n">
        <f aca="false">N8*365</f>
        <v>9.51317136740203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77</v>
      </c>
    </row>
    <row r="4" customFormat="false" ht="31.5" hidden="false" customHeight="true" outlineLevel="0" collapsed="false">
      <c r="A4" s="7" t="s">
        <v>51</v>
      </c>
      <c r="B4" s="7" t="s">
        <v>78</v>
      </c>
      <c r="C4" s="7" t="s">
        <v>21</v>
      </c>
      <c r="D4" s="7" t="s">
        <v>68</v>
      </c>
      <c r="E4" s="7" t="s">
        <v>79</v>
      </c>
      <c r="F4" s="7" t="s">
        <v>80</v>
      </c>
    </row>
    <row r="5" customFormat="false" ht="15" hidden="false" customHeight="false" outlineLevel="0" collapsed="false">
      <c r="A5" s="18" t="str">
        <f aca="false">Risk!A5</f>
        <v>API Authentication Bypass</v>
      </c>
      <c r="B5" s="19" t="n">
        <f aca="false">Risk!D5</f>
        <v>750000</v>
      </c>
      <c r="C5" s="18" t="str">
        <f aca="false">Controls!A5</f>
        <v>Advanced API Security Gateway</v>
      </c>
      <c r="D5" s="19" t="n">
        <f aca="false">Controls!H5</f>
        <v>75000</v>
      </c>
      <c r="E5" s="21" t="n">
        <f aca="false">B5-D5</f>
        <v>675000</v>
      </c>
      <c r="F5" s="22" t="n">
        <f aca="false">E5/B5</f>
        <v>0.9</v>
      </c>
    </row>
    <row r="6" customFormat="false" ht="15" hidden="false" customHeight="false" outlineLevel="0" collapsed="false">
      <c r="A6" s="18" t="str">
        <f aca="false">Risk!A6</f>
        <v>Database Injection</v>
      </c>
      <c r="B6" s="19" t="n">
        <f aca="false">Risk!D6</f>
        <v>31250000</v>
      </c>
      <c r="C6" s="18" t="str">
        <f aca="false">Controls!A6</f>
        <v>Web Application Firewall (WAF)</v>
      </c>
      <c r="D6" s="19" t="n">
        <f aca="false">Controls!H6</f>
        <v>7812500</v>
      </c>
      <c r="E6" s="21" t="n">
        <f aca="false">B6-D6</f>
        <v>23437500</v>
      </c>
      <c r="F6" s="22" t="n">
        <f aca="false">E6/B6</f>
        <v>0.75</v>
      </c>
    </row>
    <row r="7" customFormat="false" ht="15" hidden="false" customHeight="false" outlineLevel="0" collapsed="false">
      <c r="A7" s="18" t="str">
        <f aca="false">Risk!A7</f>
        <v>Session Hijacking</v>
      </c>
      <c r="B7" s="19" t="n">
        <f aca="false">Risk!D7</f>
        <v>3000000</v>
      </c>
      <c r="C7" s="18" t="str">
        <f aca="false">Controls!A7</f>
        <v>Multi-Factor Authentication Enhancement</v>
      </c>
      <c r="D7" s="19" t="n">
        <f aca="false">Controls!H7</f>
        <v>150000</v>
      </c>
      <c r="E7" s="21" t="n">
        <f aca="false">B7-D7</f>
        <v>2850000</v>
      </c>
      <c r="F7" s="22" t="n">
        <f aca="false">E7/B7</f>
        <v>0.95</v>
      </c>
    </row>
    <row r="8" customFormat="false" ht="15" hidden="false" customHeight="false" outlineLevel="0" collapsed="false">
      <c r="A8" s="24" t="s">
        <v>61</v>
      </c>
      <c r="B8" s="26" t="n">
        <f aca="false">SUM(B5:B7)</f>
        <v>35000000</v>
      </c>
      <c r="C8" s="25"/>
      <c r="D8" s="26" t="n">
        <f aca="false">SUM(D5:D7)</f>
        <v>8037500</v>
      </c>
      <c r="E8" s="26" t="n">
        <f aca="false">SUM(E5:E7)</f>
        <v>26962500</v>
      </c>
      <c r="F8" s="27" t="n">
        <f aca="false">E8/B8</f>
        <v>0.770357142857143</v>
      </c>
    </row>
    <row r="11" customFormat="false" ht="31.5" hidden="false" customHeight="true" outlineLevel="0" collapsed="false">
      <c r="A11" s="7" t="s">
        <v>81</v>
      </c>
      <c r="B11" s="7" t="s">
        <v>82</v>
      </c>
    </row>
    <row r="12" customFormat="false" ht="15" hidden="false" customHeight="false" outlineLevel="0" collapsed="false">
      <c r="A12" s="4" t="s">
        <v>83</v>
      </c>
      <c r="B12" s="19" t="n">
        <f aca="false">Controls!B8</f>
        <v>700000</v>
      </c>
    </row>
    <row r="13" customFormat="false" ht="15" hidden="false" customHeight="false" outlineLevel="0" collapsed="false">
      <c r="A13" s="4" t="s">
        <v>84</v>
      </c>
      <c r="B13" s="19" t="n">
        <f aca="false">Controls!C8</f>
        <v>105000</v>
      </c>
    </row>
    <row r="14" customFormat="false" ht="15" hidden="false" customHeight="false" outlineLevel="0" collapsed="false">
      <c r="A14" s="4" t="s">
        <v>85</v>
      </c>
      <c r="B14" s="19" t="n">
        <f aca="false">Controls!I8</f>
        <v>805000</v>
      </c>
    </row>
    <row r="15" customFormat="false" ht="15" hidden="false" customHeight="false" outlineLevel="0" collapsed="false">
      <c r="A15" s="4" t="s">
        <v>86</v>
      </c>
      <c r="B15" s="19" t="n">
        <f aca="false">Controls!G8</f>
        <v>26962500</v>
      </c>
    </row>
    <row r="16" customFormat="false" ht="15" hidden="false" customHeight="false" outlineLevel="0" collapsed="false">
      <c r="A16" s="4" t="s">
        <v>87</v>
      </c>
      <c r="B16" s="34" t="n">
        <f aca="false">Controls!J8</f>
        <v>32.4937888198758</v>
      </c>
    </row>
    <row r="17" customFormat="false" ht="15" hidden="false" customHeight="false" outlineLevel="0" collapsed="false">
      <c r="A17" s="4" t="s">
        <v>88</v>
      </c>
      <c r="B17" s="35" t="n">
        <f aca="false">Controls!O8</f>
        <v>9.51317136740203</v>
      </c>
    </row>
    <row r="18" customFormat="false" ht="15" hidden="false" customHeight="false" outlineLevel="0" collapsed="false">
      <c r="A18" s="4" t="s">
        <v>89</v>
      </c>
      <c r="B18" s="19" t="n">
        <f aca="false">D8</f>
        <v>8037500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17.35" hidden="false" customHeight="false" outlineLevel="0" collapsed="false">
      <c r="A1" s="1" t="s">
        <v>90</v>
      </c>
    </row>
    <row r="3" customFormat="false" ht="15" hidden="false" customHeight="false" outlineLevel="0" collapsed="false">
      <c r="A3" s="3" t="s">
        <v>91</v>
      </c>
    </row>
    <row r="4" customFormat="false" ht="31.5" hidden="false" customHeight="true" outlineLevel="0" collapsed="false">
      <c r="A4" s="7" t="s">
        <v>21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  <c r="G4" s="7" t="s">
        <v>97</v>
      </c>
    </row>
    <row r="5" customFormat="false" ht="15" hidden="false" customHeight="false" outlineLevel="0" collapsed="false">
      <c r="A5" s="15" t="s">
        <v>98</v>
      </c>
      <c r="B5" s="36" t="n">
        <v>0</v>
      </c>
      <c r="C5" s="36" t="n">
        <v>1</v>
      </c>
      <c r="D5" s="36" t="n">
        <v>2</v>
      </c>
      <c r="E5" s="36" t="n">
        <v>3</v>
      </c>
      <c r="F5" s="36" t="n">
        <v>4</v>
      </c>
      <c r="G5" s="36" t="n">
        <v>5</v>
      </c>
    </row>
    <row r="6" customFormat="false" ht="15" hidden="false" customHeight="false" outlineLevel="0" collapsed="false">
      <c r="A6" s="18" t="str">
        <f aca="false">Controls!A5</f>
        <v>Advanced API Security Gateway</v>
      </c>
      <c r="B6" s="21" t="n">
        <f aca="false">-Controls!$B$5+(Controls!$G$5-Controls!$C$5)*B$5</f>
        <v>-350000</v>
      </c>
      <c r="C6" s="21" t="n">
        <f aca="false">-Controls!$B$5+(Controls!$G$5-Controls!$C$5)*C$5</f>
        <v>275000</v>
      </c>
      <c r="D6" s="21" t="n">
        <f aca="false">-Controls!$B$5+(Controls!$G$5-Controls!$C$5)*D$5</f>
        <v>900000</v>
      </c>
      <c r="E6" s="21" t="n">
        <f aca="false">-Controls!$B$5+(Controls!$G$5-Controls!$C$5)*E$5</f>
        <v>1525000</v>
      </c>
      <c r="F6" s="21" t="n">
        <f aca="false">-Controls!$B$5+(Controls!$G$5-Controls!$C$5)*F$5</f>
        <v>2150000</v>
      </c>
      <c r="G6" s="21" t="n">
        <f aca="false">-Controls!$B$5+(Controls!$G$5-Controls!$C$5)*G$5</f>
        <v>2775000</v>
      </c>
    </row>
    <row r="7" customFormat="false" ht="15" hidden="false" customHeight="false" outlineLevel="0" collapsed="false">
      <c r="A7" s="18" t="str">
        <f aca="false">Controls!A6</f>
        <v>Web Application Firewall (WAF)</v>
      </c>
      <c r="B7" s="21" t="n">
        <f aca="false">-Controls!$B$6+(Controls!$G$6-Controls!$C$6)*B$5</f>
        <v>-150000</v>
      </c>
      <c r="C7" s="21" t="n">
        <f aca="false">-Controls!$B$6+(Controls!$G$6-Controls!$C$6)*C$5</f>
        <v>23262500</v>
      </c>
      <c r="D7" s="21" t="n">
        <f aca="false">-Controls!$B$6+(Controls!$G$6-Controls!$C$6)*D$5</f>
        <v>46675000</v>
      </c>
      <c r="E7" s="21" t="n">
        <f aca="false">-Controls!$B$6+(Controls!$G$6-Controls!$C$6)*E$5</f>
        <v>70087500</v>
      </c>
      <c r="F7" s="21" t="n">
        <f aca="false">-Controls!$B$6+(Controls!$G$6-Controls!$C$6)*F$5</f>
        <v>93500000</v>
      </c>
      <c r="G7" s="21" t="n">
        <f aca="false">-Controls!$B$6+(Controls!$G$6-Controls!$C$6)*G$5</f>
        <v>116912500</v>
      </c>
    </row>
    <row r="8" customFormat="false" ht="15" hidden="false" customHeight="false" outlineLevel="0" collapsed="false">
      <c r="A8" s="18" t="str">
        <f aca="false">Controls!A7</f>
        <v>Multi-Factor Authentication Enhancement</v>
      </c>
      <c r="B8" s="21" t="n">
        <f aca="false">-Controls!$B$7+(Controls!$G$7-Controls!$C$7)*B$5</f>
        <v>-200000</v>
      </c>
      <c r="C8" s="21" t="n">
        <f aca="false">-Controls!$B$7+(Controls!$G$7-Controls!$C$7)*C$5</f>
        <v>2620000</v>
      </c>
      <c r="D8" s="21" t="n">
        <f aca="false">-Controls!$B$7+(Controls!$G$7-Controls!$C$7)*D$5</f>
        <v>5440000</v>
      </c>
      <c r="E8" s="21" t="n">
        <f aca="false">-Controls!$B$7+(Controls!$G$7-Controls!$C$7)*E$5</f>
        <v>8260000</v>
      </c>
      <c r="F8" s="21" t="n">
        <f aca="false">-Controls!$B$7+(Controls!$G$7-Controls!$C$7)*F$5</f>
        <v>11080000</v>
      </c>
      <c r="G8" s="21" t="n">
        <f aca="false">-Controls!$B$7+(Controls!$G$7-Controls!$C$7)*G$5</f>
        <v>13900000</v>
      </c>
    </row>
    <row r="9" customFormat="false" ht="15" hidden="false" customHeight="false" outlineLevel="0" collapsed="false">
      <c r="A9" s="24" t="s">
        <v>99</v>
      </c>
      <c r="B9" s="26" t="n">
        <f aca="false">SUM(B6:B8)</f>
        <v>-700000</v>
      </c>
      <c r="C9" s="26" t="n">
        <f aca="false">SUM(C6:C8)</f>
        <v>26157500</v>
      </c>
      <c r="D9" s="26" t="n">
        <f aca="false">SUM(D6:D8)</f>
        <v>53015000</v>
      </c>
      <c r="E9" s="26" t="n">
        <f aca="false">SUM(E6:E8)</f>
        <v>79872500</v>
      </c>
      <c r="F9" s="26" t="n">
        <f aca="false">SUM(F6:F8)</f>
        <v>106730000</v>
      </c>
      <c r="G9" s="26" t="n">
        <f aca="false">SUM(G6:G8)</f>
        <v>133587500</v>
      </c>
    </row>
    <row r="12" customFormat="false" ht="15" hidden="false" customHeight="false" outlineLevel="0" collapsed="false">
      <c r="A12" s="3" t="s">
        <v>100</v>
      </c>
    </row>
    <row r="13" customFormat="false" ht="31.5" hidden="false" customHeight="true" outlineLevel="0" collapsed="false">
      <c r="A13" s="7" t="s">
        <v>21</v>
      </c>
      <c r="B13" s="7" t="s">
        <v>101</v>
      </c>
    </row>
    <row r="14" customFormat="false" ht="15" hidden="false" customHeight="false" outlineLevel="0" collapsed="false">
      <c r="A14" s="18" t="str">
        <f aca="false">Controls!A5</f>
        <v>Advanced API Security Gateway</v>
      </c>
      <c r="B14" s="12" t="n">
        <v>6</v>
      </c>
    </row>
    <row r="15" customFormat="false" ht="15" hidden="false" customHeight="false" outlineLevel="0" collapsed="false">
      <c r="A15" s="18" t="str">
        <f aca="false">Controls!A6</f>
        <v>Web Application Firewall (WAF)</v>
      </c>
      <c r="B15" s="12" t="n">
        <v>1</v>
      </c>
    </row>
    <row r="16" customFormat="false" ht="15" hidden="false" customHeight="false" outlineLevel="0" collapsed="false">
      <c r="A16" s="18" t="str">
        <f aca="false">Controls!A7</f>
        <v>Multi-Factor Authentication Enhancement</v>
      </c>
      <c r="B16" s="12" t="n">
        <v>3</v>
      </c>
    </row>
    <row r="18" customFormat="false" ht="31.5" hidden="false" customHeight="true" outlineLevel="0" collapsed="false">
      <c r="A18" s="7" t="s">
        <v>102</v>
      </c>
      <c r="B18" s="7" t="s">
        <v>103</v>
      </c>
    </row>
    <row r="19" customFormat="false" ht="15" hidden="false" customHeight="false" outlineLevel="0" collapsed="false">
      <c r="A19" s="36" t="n">
        <v>0</v>
      </c>
      <c r="B19" s="21" t="n">
        <f aca="false">Risk!$D$8-SUMPRODUCT((A19&gt;=$B$14:$B$16)*Controls!$G$5:$G$7)</f>
        <v>35000000</v>
      </c>
    </row>
    <row r="20" customFormat="false" ht="15" hidden="false" customHeight="false" outlineLevel="0" collapsed="false">
      <c r="A20" s="36" t="n">
        <v>1</v>
      </c>
      <c r="B20" s="21" t="n">
        <f aca="false">Risk!$D$8-SUMPRODUCT((A20&gt;=$B$14:$B$16)*Controls!$G$5:$G$7)</f>
        <v>11562500</v>
      </c>
    </row>
    <row r="21" customFormat="false" ht="15" hidden="false" customHeight="false" outlineLevel="0" collapsed="false">
      <c r="A21" s="36" t="n">
        <v>2</v>
      </c>
      <c r="B21" s="21" t="n">
        <f aca="false">Risk!$D$8-SUMPRODUCT((A21&gt;=$B$14:$B$16)*Controls!$G$5:$G$7)</f>
        <v>11562500</v>
      </c>
    </row>
    <row r="22" customFormat="false" ht="15" hidden="false" customHeight="false" outlineLevel="0" collapsed="false">
      <c r="A22" s="36" t="n">
        <v>3</v>
      </c>
      <c r="B22" s="21" t="n">
        <f aca="false">Risk!$D$8-SUMPRODUCT((A22&gt;=$B$14:$B$16)*Controls!$G$5:$G$7)</f>
        <v>8712500</v>
      </c>
    </row>
    <row r="23" customFormat="false" ht="15" hidden="false" customHeight="false" outlineLevel="0" collapsed="false">
      <c r="A23" s="36" t="n">
        <v>4</v>
      </c>
      <c r="B23" s="21" t="n">
        <f aca="false">Risk!$D$8-SUMPRODUCT((A23&gt;=$B$14:$B$16)*Controls!$G$5:$G$7)</f>
        <v>8712500</v>
      </c>
    </row>
    <row r="24" customFormat="false" ht="15" hidden="false" customHeight="false" outlineLevel="0" collapsed="false">
      <c r="A24" s="36" t="n">
        <v>5</v>
      </c>
      <c r="B24" s="21" t="n">
        <f aca="false">Risk!$D$8-SUMPRODUCT((A24&gt;=$B$14:$B$16)*Controls!$G$5:$G$7)</f>
        <v>8712500</v>
      </c>
    </row>
    <row r="25" customFormat="false" ht="15" hidden="false" customHeight="false" outlineLevel="0" collapsed="false">
      <c r="A25" s="36" t="n">
        <v>6</v>
      </c>
      <c r="B25" s="21" t="n">
        <f aca="false">Risk!$D$8-SUMPRODUCT((A25&gt;=$B$14:$B$16)*Controls!$G$5:$G$7)</f>
        <v>8037500</v>
      </c>
    </row>
    <row r="26" customFormat="false" ht="15" hidden="false" customHeight="false" outlineLevel="0" collapsed="false">
      <c r="A26" s="36" t="n">
        <v>7</v>
      </c>
      <c r="B26" s="21" t="n">
        <f aca="false">Risk!$D$8-SUMPRODUCT((A26&gt;=$B$14:$B$16)*Controls!$G$5:$G$7)</f>
        <v>8037500</v>
      </c>
    </row>
    <row r="27" customFormat="false" ht="15" hidden="false" customHeight="false" outlineLevel="0" collapsed="false">
      <c r="A27" s="36" t="n">
        <v>8</v>
      </c>
      <c r="B27" s="21" t="n">
        <f aca="false">Risk!$D$8-SUMPRODUCT((A27&gt;=$B$14:$B$16)*Controls!$G$5:$G$7)</f>
        <v>8037500</v>
      </c>
    </row>
    <row r="28" customFormat="false" ht="15" hidden="false" customHeight="false" outlineLevel="0" collapsed="false">
      <c r="A28" s="36" t="n">
        <v>9</v>
      </c>
      <c r="B28" s="21" t="n">
        <f aca="false">Risk!$D$8-SUMPRODUCT((A28&gt;=$B$14:$B$16)*Controls!$G$5:$G$7)</f>
        <v>8037500</v>
      </c>
    </row>
    <row r="29" customFormat="false" ht="15" hidden="false" customHeight="false" outlineLevel="0" collapsed="false">
      <c r="A29" s="36" t="n">
        <v>10</v>
      </c>
      <c r="B29" s="21" t="n">
        <f aca="false">Risk!$D$8-SUMPRODUCT((A29&gt;=$B$14:$B$16)*Controls!$G$5:$G$7)</f>
        <v>8037500</v>
      </c>
    </row>
    <row r="30" customFormat="false" ht="15" hidden="false" customHeight="false" outlineLevel="0" collapsed="false">
      <c r="A30" s="36" t="n">
        <v>11</v>
      </c>
      <c r="B30" s="21" t="n">
        <f aca="false">Risk!$D$8-SUMPRODUCT((A30&gt;=$B$14:$B$16)*Controls!$G$5:$G$7)</f>
        <v>8037500</v>
      </c>
    </row>
    <row r="31" customFormat="false" ht="15" hidden="false" customHeight="false" outlineLevel="0" collapsed="false">
      <c r="A31" s="36" t="n">
        <v>12</v>
      </c>
      <c r="B31" s="21" t="n">
        <f aca="false">Risk!$D$8-SUMPRODUCT((A31&gt;=$B$14:$B$16)*Controls!$G$5:$G$7)</f>
        <v>8037500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22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15" t="s">
        <v>105</v>
      </c>
      <c r="B3" s="19" t="n">
        <f aca="false">Inputs!B27</f>
        <v>450000</v>
      </c>
    </row>
    <row r="5" customFormat="false" ht="31.5" hidden="false" customHeight="true" outlineLevel="0" collapsed="false">
      <c r="A5" s="7" t="s">
        <v>106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67</v>
      </c>
      <c r="H5" s="7" t="s">
        <v>112</v>
      </c>
      <c r="I5" s="7" t="s">
        <v>113</v>
      </c>
      <c r="J5" s="7" t="s">
        <v>114</v>
      </c>
    </row>
    <row r="6" customFormat="false" ht="15" hidden="false" customHeight="false" outlineLevel="0" collapsed="false">
      <c r="A6" s="4" t="s">
        <v>115</v>
      </c>
      <c r="B6" s="36" t="n">
        <v>0</v>
      </c>
      <c r="C6" s="36" t="n">
        <v>0</v>
      </c>
      <c r="D6" s="36" t="n">
        <v>0</v>
      </c>
      <c r="E6" s="19" t="n">
        <f aca="false">B6*Controls!$B$5+C6*Controls!$B$6+D6*Controls!$B$7</f>
        <v>0</v>
      </c>
      <c r="F6" s="19" t="n">
        <f aca="false">B6*Controls!$I$5+C6*Controls!$I$6+D6*Controls!$I$7</f>
        <v>0</v>
      </c>
      <c r="G6" s="19" t="n">
        <f aca="false">B6*Controls!$G$5+C6*Controls!$G$6+D6*Controls!$G$7</f>
        <v>0</v>
      </c>
      <c r="H6" s="21" t="n">
        <f aca="false">G6-F6</f>
        <v>0</v>
      </c>
      <c r="I6" s="4" t="str">
        <f aca="false">IF(F6&lt;=$B$3,"Yes","No")</f>
        <v>Yes</v>
      </c>
      <c r="J6" s="21" t="n">
        <f aca="false">IF(I6="Yes",H6,"")</f>
        <v>0</v>
      </c>
    </row>
    <row r="7" customFormat="false" ht="15" hidden="false" customHeight="false" outlineLevel="0" collapsed="false">
      <c r="A7" s="4" t="s">
        <v>107</v>
      </c>
      <c r="B7" s="36" t="n">
        <v>1</v>
      </c>
      <c r="C7" s="36" t="n">
        <v>0</v>
      </c>
      <c r="D7" s="36" t="n">
        <v>0</v>
      </c>
      <c r="E7" s="19" t="n">
        <f aca="false">B7*Controls!$B$5+C7*Controls!$B$6+D7*Controls!$B$7</f>
        <v>350000</v>
      </c>
      <c r="F7" s="19" t="n">
        <f aca="false">B7*Controls!$I$5+C7*Controls!$I$6+D7*Controls!$I$7</f>
        <v>400000</v>
      </c>
      <c r="G7" s="19" t="n">
        <f aca="false">B7*Controls!$G$5+C7*Controls!$G$6+D7*Controls!$G$7</f>
        <v>675000</v>
      </c>
      <c r="H7" s="21" t="n">
        <f aca="false">G7-F7</f>
        <v>275000</v>
      </c>
      <c r="I7" s="4" t="str">
        <f aca="false">IF(F7&lt;=$B$3,"Yes","No")</f>
        <v>Yes</v>
      </c>
      <c r="J7" s="21" t="n">
        <f aca="false">IF(I7="Yes",H7,"")</f>
        <v>275000</v>
      </c>
    </row>
    <row r="8" customFormat="false" ht="15" hidden="false" customHeight="false" outlineLevel="0" collapsed="false">
      <c r="A8" s="4" t="s">
        <v>108</v>
      </c>
      <c r="B8" s="36" t="n">
        <v>0</v>
      </c>
      <c r="C8" s="36" t="n">
        <v>1</v>
      </c>
      <c r="D8" s="36" t="n">
        <v>0</v>
      </c>
      <c r="E8" s="19" t="n">
        <f aca="false">B8*Controls!$B$5+C8*Controls!$B$6+D8*Controls!$B$7</f>
        <v>150000</v>
      </c>
      <c r="F8" s="19" t="n">
        <f aca="false">B8*Controls!$I$5+C8*Controls!$I$6+D8*Controls!$I$7</f>
        <v>175000</v>
      </c>
      <c r="G8" s="19" t="n">
        <f aca="false">B8*Controls!$G$5+C8*Controls!$G$6+D8*Controls!$G$7</f>
        <v>23437500</v>
      </c>
      <c r="H8" s="21" t="n">
        <f aca="false">G8-F8</f>
        <v>23262500</v>
      </c>
      <c r="I8" s="4" t="str">
        <f aca="false">IF(F8&lt;=$B$3,"Yes","No")</f>
        <v>Yes</v>
      </c>
      <c r="J8" s="21" t="n">
        <f aca="false">IF(I8="Yes",H8,"")</f>
        <v>23262500</v>
      </c>
    </row>
    <row r="9" customFormat="false" ht="15" hidden="false" customHeight="false" outlineLevel="0" collapsed="false">
      <c r="A9" s="4" t="s">
        <v>109</v>
      </c>
      <c r="B9" s="36" t="n">
        <v>0</v>
      </c>
      <c r="C9" s="36" t="n">
        <v>0</v>
      </c>
      <c r="D9" s="36" t="n">
        <v>1</v>
      </c>
      <c r="E9" s="19" t="n">
        <f aca="false">B9*Controls!$B$5+C9*Controls!$B$6+D9*Controls!$B$7</f>
        <v>200000</v>
      </c>
      <c r="F9" s="19" t="n">
        <f aca="false">B9*Controls!$I$5+C9*Controls!$I$6+D9*Controls!$I$7</f>
        <v>230000</v>
      </c>
      <c r="G9" s="19" t="n">
        <f aca="false">B9*Controls!$G$5+C9*Controls!$G$6+D9*Controls!$G$7</f>
        <v>2850000</v>
      </c>
      <c r="H9" s="21" t="n">
        <f aca="false">G9-F9</f>
        <v>2620000</v>
      </c>
      <c r="I9" s="4" t="str">
        <f aca="false">IF(F9&lt;=$B$3,"Yes","No")</f>
        <v>Yes</v>
      </c>
      <c r="J9" s="21" t="n">
        <f aca="false">IF(I9="Yes",H9,"")</f>
        <v>2620000</v>
      </c>
    </row>
    <row r="10" customFormat="false" ht="15" hidden="false" customHeight="false" outlineLevel="0" collapsed="false">
      <c r="A10" s="4" t="s">
        <v>116</v>
      </c>
      <c r="B10" s="36" t="n">
        <v>1</v>
      </c>
      <c r="C10" s="36" t="n">
        <v>1</v>
      </c>
      <c r="D10" s="36" t="n">
        <v>0</v>
      </c>
      <c r="E10" s="19" t="n">
        <f aca="false">B10*Controls!$B$5+C10*Controls!$B$6+D10*Controls!$B$7</f>
        <v>500000</v>
      </c>
      <c r="F10" s="19" t="n">
        <f aca="false">B10*Controls!$I$5+C10*Controls!$I$6+D10*Controls!$I$7</f>
        <v>575000</v>
      </c>
      <c r="G10" s="19" t="n">
        <f aca="false">B10*Controls!$G$5+C10*Controls!$G$6+D10*Controls!$G$7</f>
        <v>24112500</v>
      </c>
      <c r="H10" s="21" t="n">
        <f aca="false">G10-F10</f>
        <v>23537500</v>
      </c>
      <c r="I10" s="4" t="str">
        <f aca="false">IF(F10&lt;=$B$3,"Yes","No")</f>
        <v>No</v>
      </c>
      <c r="J10" s="21" t="str">
        <f aca="false">IF(I10="Yes",H10,"")</f>
        <v/>
      </c>
    </row>
    <row r="11" customFormat="false" ht="15" hidden="false" customHeight="false" outlineLevel="0" collapsed="false">
      <c r="A11" s="4" t="s">
        <v>117</v>
      </c>
      <c r="B11" s="36" t="n">
        <v>1</v>
      </c>
      <c r="C11" s="36" t="n">
        <v>0</v>
      </c>
      <c r="D11" s="36" t="n">
        <v>1</v>
      </c>
      <c r="E11" s="19" t="n">
        <f aca="false">B11*Controls!$B$5+C11*Controls!$B$6+D11*Controls!$B$7</f>
        <v>550000</v>
      </c>
      <c r="F11" s="19" t="n">
        <f aca="false">B11*Controls!$I$5+C11*Controls!$I$6+D11*Controls!$I$7</f>
        <v>630000</v>
      </c>
      <c r="G11" s="19" t="n">
        <f aca="false">B11*Controls!$G$5+C11*Controls!$G$6+D11*Controls!$G$7</f>
        <v>3525000</v>
      </c>
      <c r="H11" s="21" t="n">
        <f aca="false">G11-F11</f>
        <v>2895000</v>
      </c>
      <c r="I11" s="4" t="str">
        <f aca="false">IF(F11&lt;=$B$3,"Yes","No")</f>
        <v>No</v>
      </c>
      <c r="J11" s="21" t="str">
        <f aca="false">IF(I11="Yes",H11,"")</f>
        <v/>
      </c>
    </row>
    <row r="12" customFormat="false" ht="15" hidden="false" customHeight="false" outlineLevel="0" collapsed="false">
      <c r="A12" s="4" t="s">
        <v>118</v>
      </c>
      <c r="B12" s="36" t="n">
        <v>0</v>
      </c>
      <c r="C12" s="36" t="n">
        <v>1</v>
      </c>
      <c r="D12" s="36" t="n">
        <v>1</v>
      </c>
      <c r="E12" s="19" t="n">
        <f aca="false">B12*Controls!$B$5+C12*Controls!$B$6+D12*Controls!$B$7</f>
        <v>350000</v>
      </c>
      <c r="F12" s="19" t="n">
        <f aca="false">B12*Controls!$I$5+C12*Controls!$I$6+D12*Controls!$I$7</f>
        <v>405000</v>
      </c>
      <c r="G12" s="19" t="n">
        <f aca="false">B12*Controls!$G$5+C12*Controls!$G$6+D12*Controls!$G$7</f>
        <v>26287500</v>
      </c>
      <c r="H12" s="21" t="n">
        <f aca="false">G12-F12</f>
        <v>25882500</v>
      </c>
      <c r="I12" s="4" t="str">
        <f aca="false">IF(F12&lt;=$B$3,"Yes","No")</f>
        <v>Yes</v>
      </c>
      <c r="J12" s="21" t="n">
        <f aca="false">IF(I12="Yes",H12,"")</f>
        <v>25882500</v>
      </c>
    </row>
    <row r="13" customFormat="false" ht="15" hidden="false" customHeight="false" outlineLevel="0" collapsed="false">
      <c r="A13" s="4" t="s">
        <v>119</v>
      </c>
      <c r="B13" s="36" t="n">
        <v>1</v>
      </c>
      <c r="C13" s="36" t="n">
        <v>1</v>
      </c>
      <c r="D13" s="36" t="n">
        <v>1</v>
      </c>
      <c r="E13" s="19" t="n">
        <f aca="false">B13*Controls!$B$5+C13*Controls!$B$6+D13*Controls!$B$7</f>
        <v>700000</v>
      </c>
      <c r="F13" s="19" t="n">
        <f aca="false">B13*Controls!$I$5+C13*Controls!$I$6+D13*Controls!$I$7</f>
        <v>805000</v>
      </c>
      <c r="G13" s="19" t="n">
        <f aca="false">B13*Controls!$G$5+C13*Controls!$G$6+D13*Controls!$G$7</f>
        <v>26962500</v>
      </c>
      <c r="H13" s="21" t="n">
        <f aca="false">G13-F13</f>
        <v>26157500</v>
      </c>
      <c r="I13" s="4" t="str">
        <f aca="false">IF(F13&lt;=$B$3,"Yes","No")</f>
        <v>No</v>
      </c>
      <c r="J13" s="21" t="str">
        <f aca="false">IF(I13="Yes",H13,"")</f>
        <v/>
      </c>
    </row>
    <row r="16" customFormat="false" ht="15" hidden="false" customHeight="false" outlineLevel="0" collapsed="false">
      <c r="A16" s="24" t="s">
        <v>120</v>
      </c>
      <c r="B16" s="24" t="str">
        <f aca="false">INDEX(A6:A13,MATCH(MAX(J6:J13),J6:J13,0))</f>
        <v>WAF + MFA</v>
      </c>
    </row>
    <row r="17" customFormat="false" ht="15" hidden="false" customHeight="false" outlineLevel="0" collapsed="false">
      <c r="A17" s="24" t="s">
        <v>121</v>
      </c>
      <c r="B17" s="26" t="n">
        <f aca="false">MAX(J6:J13)</f>
        <v>25882500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2026-10-29T09:59:43Z</dcterms:created>
  <dc:creator>openpyxl</dc:creator>
  <dc:description/>
  <dc:language>en-US</dc:language>
  <cp:lastModifiedBy/>
  <dcterms:modified xsi:type="dcterms:W3CDTF">2026-10-29T09:59:43Z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